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a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7B1535"/>
      <sz val="13"/>
    </font>
    <font>
      <name val="Arial"/>
      <i val="1"/>
      <color rgb="001a0a10"/>
      <sz val="9"/>
    </font>
    <font>
      <name val="Arial"/>
      <i val="1"/>
      <color rgb="00996633"/>
      <sz val="8"/>
    </font>
    <font>
      <name val="Arial"/>
      <color rgb="00888888"/>
      <sz val="8"/>
    </font>
    <font>
      <name val="Arial"/>
      <b val="1"/>
      <color rgb="007B1535"/>
      <sz val="10"/>
    </font>
    <font>
      <name val="Arial"/>
      <b val="1"/>
      <color rgb="00FFFFFF"/>
      <sz val="9"/>
    </font>
    <font>
      <name val="Arial"/>
      <color rgb="001a0a10"/>
      <sz val="9"/>
    </font>
  </fonts>
  <fills count="6">
    <fill>
      <patternFill/>
    </fill>
    <fill>
      <patternFill patternType="gray125"/>
    </fill>
    <fill>
      <patternFill patternType="solid">
        <fgColor rgb="00FFF5E8"/>
      </patternFill>
    </fill>
    <fill>
      <patternFill patternType="solid">
        <fgColor rgb="007B1535"/>
      </patternFill>
    </fill>
    <fill>
      <patternFill patternType="solid">
        <fgColor rgb="00F5EDE8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8" customWidth="1" min="2" max="2"/>
    <col width="12" customWidth="1" min="3" max="3"/>
    <col width="10" customWidth="1" min="4" max="4"/>
    <col width="30" customWidth="1" min="5" max="5"/>
    <col width="35" customWidth="1" min="6" max="6"/>
    <col width="20" customWidth="1" min="7" max="7"/>
    <col width="12" customWidth="1" min="8" max="8"/>
    <col width="10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Planilha de Indicadores de Qualidade</t>
        </is>
      </c>
    </row>
    <row r="2">
      <c r="A2" s="2" t="inlineStr">
        <is>
          <t>Lactário | Nutrição Enteral | BLH — 12 meses</t>
        </is>
      </c>
    </row>
    <row r="3">
      <c r="A3" s="3" t="inlineStr">
        <is>
          <t>Base legal: RDC 503/2021 | RDC 918/2024 | Manual ONA v4</t>
        </is>
      </c>
    </row>
    <row r="4">
      <c r="A4" s="4" t="inlineStr">
        <is>
          <t>Dra. Stephanie Araujo de Souza | CRN8 13998 | N2-MOD04-01</t>
        </is>
      </c>
    </row>
    <row r="6">
      <c r="A6" s="2" t="inlineStr">
        <is>
          <t>Ano: _______ | RT: _________________________</t>
        </is>
      </c>
    </row>
    <row r="8">
      <c r="A8" s="5" t="inlineStr">
        <is>
          <t>1. LACTÁRIO E ENTERAL</t>
        </is>
      </c>
    </row>
    <row r="9">
      <c r="A9" s="6" t="inlineStr">
        <is>
          <t>Indicador</t>
        </is>
      </c>
      <c r="B9" s="6" t="inlineStr">
        <is>
          <t>Fórmula de cálculo</t>
        </is>
      </c>
      <c r="C9" s="6" t="inlineStr">
        <is>
          <t>Meta</t>
        </is>
      </c>
      <c r="D9" s="6" t="inlineStr">
        <is>
          <t>Jan</t>
        </is>
      </c>
      <c r="E9" s="6" t="inlineStr">
        <is>
          <t>Fev</t>
        </is>
      </c>
      <c r="F9" s="6" t="inlineStr">
        <is>
          <t>Mar</t>
        </is>
      </c>
      <c r="G9" s="6" t="inlineStr">
        <is>
          <t>Abr</t>
        </is>
      </c>
      <c r="H9" s="6" t="inlineStr">
        <is>
          <t>Mai</t>
        </is>
      </c>
      <c r="I9" s="6" t="inlineStr">
        <is>
          <t>Jun</t>
        </is>
      </c>
      <c r="J9" s="6" t="inlineStr">
        <is>
          <t>Jul</t>
        </is>
      </c>
      <c r="K9" s="6" t="inlineStr">
        <is>
          <t>Ago</t>
        </is>
      </c>
      <c r="L9" s="6" t="inlineStr">
        <is>
          <t>Set</t>
        </is>
      </c>
      <c r="M9" s="6" t="inlineStr">
        <is>
          <t>Out</t>
        </is>
      </c>
      <c r="N9" s="6" t="inlineStr">
        <is>
          <t>Nov</t>
        </is>
      </c>
      <c r="O9" s="6" t="inlineStr">
        <is>
          <t>Dez</t>
        </is>
      </c>
    </row>
    <row r="10">
      <c r="A10" s="7" t="inlineStr">
        <is>
          <t>Taxa de NC de temperatura (%)</t>
        </is>
      </c>
      <c r="B10" s="7">
        <f>(NCs temp/total registros)×100</f>
        <v/>
      </c>
      <c r="C10" s="7" t="inlineStr">
        <is>
          <t>&lt; 2%</t>
        </is>
      </c>
      <c r="D10" s="7" t="inlineStr"/>
      <c r="E10" s="7" t="inlineStr"/>
      <c r="F10" s="7" t="inlineStr"/>
      <c r="G10" s="7" t="inlineStr"/>
      <c r="H10" s="7" t="inlineStr"/>
      <c r="I10" s="7" t="inlineStr"/>
      <c r="J10" s="7" t="inlineStr"/>
      <c r="K10" s="7" t="inlineStr"/>
      <c r="L10" s="7" t="inlineStr"/>
      <c r="M10" s="7" t="inlineStr"/>
      <c r="N10" s="7" t="inlineStr"/>
      <c r="O10" s="7" t="inlineStr"/>
    </row>
    <row r="11">
      <c r="A11" s="8" t="inlineStr">
        <is>
          <t>Conformidade de rotulagem (%)</t>
        </is>
      </c>
      <c r="B11" s="8">
        <f>(rótulos conf/total prod)×100</f>
        <v/>
      </c>
      <c r="C11" s="8" t="inlineStr">
        <is>
          <t>&gt; 98%</t>
        </is>
      </c>
      <c r="D11" s="8" t="inlineStr"/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</row>
    <row r="12">
      <c r="A12" s="7" t="inlineStr">
        <is>
          <t>Taxa de desperdício (%)</t>
        </is>
      </c>
      <c r="B12" s="7">
        <f>(vol desc/vol produzido)×100</f>
        <v/>
      </c>
      <c r="C12" s="7" t="inlineStr">
        <is>
          <t>&lt; 5%</t>
        </is>
      </c>
      <c r="D12" s="7" t="inlineStr"/>
      <c r="E12" s="7" t="inlineStr"/>
      <c r="F12" s="7" t="inlineStr"/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7" t="inlineStr"/>
      <c r="O12" s="7" t="inlineStr"/>
    </row>
    <row r="13">
      <c r="A13" s="8" t="inlineStr">
        <is>
          <t>% registros preenchidos no dia</t>
        </is>
      </c>
      <c r="B13" s="8">
        <f>(registros dia/esperados)×100</f>
        <v/>
      </c>
      <c r="C13" s="8" t="inlineStr">
        <is>
          <t>100%</t>
        </is>
      </c>
      <c r="D13" s="8" t="inlineStr"/>
      <c r="E13" s="8" t="inlineStr"/>
      <c r="F13" s="8" t="inlineStr"/>
      <c r="G13" s="8" t="inlineStr"/>
      <c r="H13" s="8" t="inlineStr"/>
      <c r="I13" s="8" t="inlineStr"/>
      <c r="J13" s="8" t="inlineStr"/>
      <c r="K13" s="8" t="inlineStr"/>
      <c r="L13" s="8" t="inlineStr"/>
      <c r="M13" s="8" t="inlineStr"/>
      <c r="N13" s="8" t="inlineStr"/>
      <c r="O13" s="8" t="inlineStr"/>
    </row>
    <row r="14">
      <c r="A14" s="7" t="inlineStr">
        <is>
          <t>% equipe com treinamento em dia</t>
        </is>
      </c>
      <c r="B14" s="7">
        <f>(treinados/total equipe)×100</f>
        <v/>
      </c>
      <c r="C14" s="7" t="inlineStr">
        <is>
          <t>100%</t>
        </is>
      </c>
      <c r="D14" s="7" t="inlineStr"/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7" t="inlineStr"/>
      <c r="O14" s="7" t="inlineStr"/>
    </row>
    <row r="16">
      <c r="A16" s="5" t="inlineStr">
        <is>
          <t>2. BLH</t>
        </is>
      </c>
    </row>
    <row r="17">
      <c r="A17" s="6" t="inlineStr">
        <is>
          <t>Indicador</t>
        </is>
      </c>
      <c r="B17" s="6" t="inlineStr">
        <is>
          <t>Fórmula de cálculo</t>
        </is>
      </c>
      <c r="C17" s="6" t="inlineStr">
        <is>
          <t>Meta</t>
        </is>
      </c>
      <c r="D17" s="6" t="inlineStr">
        <is>
          <t>Jan</t>
        </is>
      </c>
      <c r="E17" s="6" t="inlineStr">
        <is>
          <t>Fev</t>
        </is>
      </c>
      <c r="F17" s="6" t="inlineStr">
        <is>
          <t>Mar</t>
        </is>
      </c>
      <c r="G17" s="6" t="inlineStr">
        <is>
          <t>Abr</t>
        </is>
      </c>
      <c r="H17" s="6" t="inlineStr">
        <is>
          <t>Mai</t>
        </is>
      </c>
      <c r="I17" s="6" t="inlineStr">
        <is>
          <t>Jun</t>
        </is>
      </c>
      <c r="J17" s="6" t="inlineStr">
        <is>
          <t>Jul</t>
        </is>
      </c>
      <c r="K17" s="6" t="inlineStr">
        <is>
          <t>Ago</t>
        </is>
      </c>
      <c r="L17" s="6" t="inlineStr">
        <is>
          <t>Set</t>
        </is>
      </c>
      <c r="M17" s="6" t="inlineStr">
        <is>
          <t>Out</t>
        </is>
      </c>
      <c r="N17" s="6" t="inlineStr">
        <is>
          <t>Nov</t>
        </is>
      </c>
      <c r="O17" s="6" t="inlineStr">
        <is>
          <t>Dez</t>
        </is>
      </c>
    </row>
    <row r="18">
      <c r="A18" s="7" t="inlineStr">
        <is>
          <t>% LHOP aprovado microbiologicamente</t>
        </is>
      </c>
      <c r="B18" s="7">
        <f>(lotes aprov/total testados)×100</f>
        <v/>
      </c>
      <c r="C18" s="7" t="inlineStr">
        <is>
          <t>&gt; 95%</t>
        </is>
      </c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</row>
    <row r="19">
      <c r="A19" s="8" t="inlineStr">
        <is>
          <t>Taxa de descarte de LH (%)</t>
        </is>
      </c>
      <c r="B19" s="8">
        <f>(vol desc/vol recebido)×100</f>
        <v/>
      </c>
      <c r="C19" s="8" t="inlineStr">
        <is>
          <t>&lt; 10%</t>
        </is>
      </c>
      <c r="D19" s="8" t="inlineStr"/>
      <c r="E19" s="8" t="inlineStr"/>
      <c r="F19" s="8" t="inlineStr"/>
      <c r="G19" s="8" t="inlineStr"/>
      <c r="H19" s="8" t="inlineStr"/>
      <c r="I19" s="8" t="inlineStr"/>
      <c r="J19" s="8" t="inlineStr"/>
      <c r="K19" s="8" t="inlineStr"/>
      <c r="L19" s="8" t="inlineStr"/>
      <c r="M19" s="8" t="inlineStr"/>
      <c r="N19" s="8" t="inlineStr"/>
      <c r="O19" s="8" t="inlineStr"/>
    </row>
    <row r="20">
      <c r="A20" s="7" t="inlineStr">
        <is>
          <t>% análises realizadas (≥25% produção)</t>
        </is>
      </c>
      <c r="B20" s="7">
        <f>(analisados/total past)×100</f>
        <v/>
      </c>
      <c r="C20" s="7" t="inlineStr">
        <is>
          <t>≥ 25%</t>
        </is>
      </c>
      <c r="D20" s="7" t="inlineStr"/>
      <c r="E20" s="7" t="inlineStr"/>
      <c r="F20" s="7" t="inlineStr"/>
      <c r="G20" s="7" t="inlineStr"/>
      <c r="H20" s="7" t="inlineStr"/>
      <c r="I20" s="7" t="inlineStr"/>
      <c r="J20" s="7" t="inlineStr"/>
      <c r="K20" s="7" t="inlineStr"/>
      <c r="L20" s="7" t="inlineStr"/>
      <c r="M20" s="7" t="inlineStr"/>
      <c r="N20" s="7" t="inlineStr"/>
      <c r="O20" s="7" t="inlineStr"/>
    </row>
    <row r="21">
      <c r="A21" s="8" t="inlineStr">
        <is>
          <t>Autossuficiência BLH (%)</t>
        </is>
      </c>
      <c r="B21" s="8">
        <f>(pres atend c/LH/total RNPT)×100</f>
        <v/>
      </c>
      <c r="C21" s="8" t="inlineStr">
        <is>
          <t>&gt; 80%</t>
        </is>
      </c>
      <c r="D21" s="8" t="inlineStr"/>
      <c r="E21" s="8" t="inlineStr"/>
      <c r="F21" s="8" t="inlineStr"/>
      <c r="G21" s="8" t="inlineStr"/>
      <c r="H21" s="8" t="inlineStr"/>
      <c r="I21" s="8" t="inlineStr"/>
      <c r="J21" s="8" t="inlineStr"/>
      <c r="K21" s="8" t="inlineStr"/>
      <c r="L21" s="8" t="inlineStr"/>
      <c r="M21" s="8" t="inlineStr"/>
      <c r="N21" s="8" t="inlineStr"/>
      <c r="O21" s="8" t="inlineStr"/>
    </row>
    <row r="22">
      <c r="A22" s="7" t="inlineStr">
        <is>
          <t>Taxa de abandono de doadoras (%)</t>
        </is>
      </c>
      <c r="B22" s="7">
        <f>(abandono/total cadastradas)×100</f>
        <v/>
      </c>
      <c r="C22" s="7" t="inlineStr">
        <is>
          <t>&lt; 15%</t>
        </is>
      </c>
      <c r="D22" s="7" t="inlineStr"/>
      <c r="E22" s="7" t="inlineStr"/>
      <c r="F22" s="7" t="inlineStr"/>
      <c r="G22" s="7" t="inlineStr"/>
      <c r="H22" s="7" t="inlineStr"/>
      <c r="I22" s="7" t="inlineStr"/>
      <c r="J22" s="7" t="inlineStr"/>
      <c r="K22" s="7" t="inlineStr"/>
      <c r="L22" s="7" t="inlineStr"/>
      <c r="M22" s="7" t="inlineStr"/>
      <c r="N22" s="7" t="inlineStr"/>
      <c r="O22" s="7" t="inlineStr"/>
    </row>
    <row r="24">
      <c r="A24" s="5" t="inlineStr">
        <is>
          <t>3. PLANO DE AÇÃO — INDICADORES FORA DA META</t>
        </is>
      </c>
    </row>
    <row r="25">
      <c r="A25" s="6" t="inlineStr">
        <is>
          <t>Indicador</t>
        </is>
      </c>
      <c r="B25" s="6" t="inlineStr">
        <is>
          <t>Mês</t>
        </is>
      </c>
      <c r="C25" s="6" t="inlineStr">
        <is>
          <t>Resultado</t>
        </is>
      </c>
      <c r="D25" s="6" t="inlineStr">
        <is>
          <t>Meta</t>
        </is>
      </c>
      <c r="E25" s="6" t="inlineStr">
        <is>
          <t>Causa raiz</t>
        </is>
      </c>
      <c r="F25" s="6" t="inlineStr">
        <is>
          <t>Ação corretiva</t>
        </is>
      </c>
      <c r="G25" s="6" t="inlineStr">
        <is>
          <t>Responsável</t>
        </is>
      </c>
      <c r="H25" s="6" t="inlineStr">
        <is>
          <t>Prazo</t>
        </is>
      </c>
      <c r="I25" s="6" t="inlineStr">
        <is>
          <t>Status</t>
        </is>
      </c>
    </row>
    <row r="26">
      <c r="A26" s="7" t="inlineStr"/>
      <c r="B26" s="7" t="inlineStr"/>
      <c r="C26" s="7" t="inlineStr"/>
      <c r="D26" s="7" t="inlineStr"/>
      <c r="E26" s="7" t="inlineStr"/>
      <c r="F26" s="7" t="inlineStr"/>
      <c r="G26" s="7" t="inlineStr"/>
      <c r="H26" s="7" t="inlineStr"/>
      <c r="I26" s="7" t="inlineStr"/>
    </row>
    <row r="27">
      <c r="A27" s="8" t="inlineStr"/>
      <c r="B27" s="8" t="inlineStr"/>
      <c r="C27" s="8" t="inlineStr"/>
      <c r="D27" s="8" t="inlineStr"/>
      <c r="E27" s="8" t="inlineStr"/>
      <c r="F27" s="8" t="inlineStr"/>
      <c r="G27" s="8" t="inlineStr"/>
      <c r="H27" s="8" t="inlineStr"/>
      <c r="I27" s="8" t="inlineStr"/>
    </row>
    <row r="28">
      <c r="A28" s="7" t="inlineStr"/>
      <c r="B28" s="7" t="inlineStr"/>
      <c r="C28" s="7" t="inlineStr"/>
      <c r="D28" s="7" t="inlineStr"/>
      <c r="E28" s="7" t="inlineStr"/>
      <c r="F28" s="7" t="inlineStr"/>
      <c r="G28" s="7" t="inlineStr"/>
      <c r="H28" s="7" t="inlineStr"/>
      <c r="I28" s="7" t="inlineStr"/>
    </row>
    <row r="29">
      <c r="A29" s="8" t="inlineStr"/>
      <c r="B29" s="8" t="inlineStr"/>
      <c r="C29" s="8" t="inlineStr"/>
      <c r="D29" s="8" t="inlineStr"/>
      <c r="E29" s="8" t="inlineStr"/>
      <c r="F29" s="8" t="inlineStr"/>
      <c r="G29" s="8" t="inlineStr"/>
      <c r="H29" s="8" t="inlineStr"/>
      <c r="I29" s="8" t="inlineStr"/>
    </row>
    <row r="30">
      <c r="A30" s="7" t="inlineStr"/>
      <c r="B30" s="7" t="inlineStr"/>
      <c r="C30" s="7" t="inlineStr"/>
      <c r="D30" s="7" t="inlineStr"/>
      <c r="E30" s="7" t="inlineStr"/>
      <c r="F30" s="7" t="inlineStr"/>
      <c r="G30" s="7" t="inlineStr"/>
      <c r="H30" s="7" t="inlineStr"/>
      <c r="I30" s="7" t="inlineStr"/>
    </row>
    <row r="31">
      <c r="A31" s="8" t="inlineStr"/>
      <c r="B31" s="8" t="inlineStr"/>
      <c r="C31" s="8" t="inlineStr"/>
      <c r="D31" s="8" t="inlineStr"/>
      <c r="E31" s="8" t="inlineStr"/>
      <c r="F31" s="8" t="inlineStr"/>
      <c r="G31" s="8" t="inlineStr"/>
      <c r="H31" s="8" t="inlineStr"/>
      <c r="I31" s="8" t="inlineStr"/>
    </row>
    <row r="32">
      <c r="A32" s="7" t="inlineStr"/>
      <c r="B32" s="7" t="inlineStr"/>
      <c r="C32" s="7" t="inlineStr"/>
      <c r="D32" s="7" t="inlineStr"/>
      <c r="E32" s="7" t="inlineStr"/>
      <c r="F32" s="7" t="inlineStr"/>
      <c r="G32" s="7" t="inlineStr"/>
      <c r="H32" s="7" t="inlineStr"/>
      <c r="I32" s="7" t="inlineStr"/>
    </row>
    <row r="33">
      <c r="A33" s="8" t="inlineStr"/>
      <c r="B33" s="8" t="inlineStr"/>
      <c r="C33" s="8" t="inlineStr"/>
      <c r="D33" s="8" t="inlineStr"/>
      <c r="E33" s="8" t="inlineStr"/>
      <c r="F33" s="8" t="inlineStr"/>
      <c r="G33" s="8" t="inlineStr"/>
      <c r="H33" s="8" t="inlineStr"/>
      <c r="I33" s="8" t="inlineStr"/>
    </row>
    <row r="34">
      <c r="A34" s="7" t="inlineStr"/>
      <c r="B34" s="7" t="inlineStr"/>
      <c r="C34" s="7" t="inlineStr"/>
      <c r="D34" s="7" t="inlineStr"/>
      <c r="E34" s="7" t="inlineStr"/>
      <c r="F34" s="7" t="inlineStr"/>
      <c r="G34" s="7" t="inlineStr"/>
      <c r="H34" s="7" t="inlineStr"/>
      <c r="I34" s="7" t="inlineStr"/>
    </row>
    <row r="35">
      <c r="A35" s="8" t="inlineStr"/>
      <c r="B35" s="8" t="inlineStr"/>
      <c r="C35" s="8" t="inlineStr"/>
      <c r="D35" s="8" t="inlineStr"/>
      <c r="E35" s="8" t="inlineStr"/>
      <c r="F35" s="8" t="inlineStr"/>
      <c r="G35" s="8" t="inlineStr"/>
      <c r="H35" s="8" t="inlineStr"/>
      <c r="I35" s="8" t="inlineStr"/>
    </row>
    <row r="36">
      <c r="A36" s="7" t="inlineStr"/>
      <c r="B36" s="7" t="inlineStr"/>
      <c r="C36" s="7" t="inlineStr"/>
      <c r="D36" s="7" t="inlineStr"/>
      <c r="E36" s="7" t="inlineStr"/>
      <c r="F36" s="7" t="inlineStr"/>
      <c r="G36" s="7" t="inlineStr"/>
      <c r="H36" s="7" t="inlineStr"/>
      <c r="I36" s="7" t="inlineStr"/>
    </row>
    <row r="37">
      <c r="A37" s="8" t="inlineStr"/>
      <c r="B37" s="8" t="inlineStr"/>
      <c r="C37" s="8" t="inlineStr"/>
      <c r="D37" s="8" t="inlineStr"/>
      <c r="E37" s="8" t="inlineStr"/>
      <c r="F37" s="8" t="inlineStr"/>
      <c r="G37" s="8" t="inlineStr"/>
      <c r="H37" s="8" t="inlineStr"/>
      <c r="I37" s="8" t="inlineStr"/>
    </row>
  </sheetData>
  <mergeCells count="8">
    <mergeCell ref="A1:P1"/>
    <mergeCell ref="A8:P8"/>
    <mergeCell ref="A6:P6"/>
    <mergeCell ref="A4:P4"/>
    <mergeCell ref="A3:P3"/>
    <mergeCell ref="A24:J24"/>
    <mergeCell ref="A16:P16"/>
    <mergeCell ref="A2:P2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2026-05-06T15:10:50Z</dcterms:created>
  <dcterms:modified xmlns:dcterms="http://purl.org/dc/terms/" xmlns:xsi="http://www.w3.org/2001/XMLSchema-instance" xsi:type="dcterms:W3CDTF">2026-05-06T15:10:50Z</dcterms:modified>
</cp:coreProperties>
</file>